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C\2026\Sebastian\Tesis_pruebas\"/>
    </mc:Choice>
  </mc:AlternateContent>
  <xr:revisionPtr revIDLastSave="0" documentId="13_ncr:1_{71D7EBB6-8270-41B0-94F8-702E05C93602}" xr6:coauthVersionLast="47" xr6:coauthVersionMax="47" xr10:uidLastSave="{00000000-0000-0000-0000-000000000000}"/>
  <bookViews>
    <workbookView xWindow="-110" yWindow="-10910" windowWidth="19420" windowHeight="10300" xr2:uid="{63CCC3CA-1558-461E-B0B6-AA37C2AD9662}"/>
  </bookViews>
  <sheets>
    <sheet name="Fase Simulac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2" i="1" l="1"/>
  <c r="G31" i="1"/>
  <c r="G30" i="1"/>
  <c r="G29" i="1"/>
  <c r="G28" i="1"/>
  <c r="G27" i="1"/>
  <c r="G26" i="1"/>
  <c r="G24" i="1"/>
  <c r="G22" i="1"/>
  <c r="G25" i="1"/>
  <c r="G23" i="1"/>
  <c r="G21" i="1"/>
  <c r="G20" i="1"/>
  <c r="G19" i="1"/>
  <c r="G18" i="1"/>
  <c r="G17" i="1"/>
  <c r="G16" i="1"/>
  <c r="G15" i="1"/>
  <c r="G14" i="1"/>
  <c r="G13" i="1"/>
  <c r="G12" i="1"/>
  <c r="G11" i="1"/>
  <c r="G10" i="1"/>
  <c r="G8" i="1"/>
  <c r="G9" i="1"/>
</calcChain>
</file>

<file path=xl/sharedStrings.xml><?xml version="1.0" encoding="utf-8"?>
<sst xmlns="http://schemas.openxmlformats.org/spreadsheetml/2006/main" count="104" uniqueCount="100">
  <si>
    <t>Numero de Prueba</t>
  </si>
  <si>
    <t>Condiciones de la prueba</t>
  </si>
  <si>
    <t>Camino activado</t>
  </si>
  <si>
    <t>Secuencia de entradas</t>
  </si>
  <si>
    <t>Salidas esperadas</t>
  </si>
  <si>
    <t>Salidas obtenidas</t>
  </si>
  <si>
    <t>T1</t>
  </si>
  <si>
    <t>Verificación de conectividad completa</t>
  </si>
  <si>
    <t>conexión de todos los nodos de la red a internet</t>
  </si>
  <si>
    <t>En cada máquina de la LAN interna, hacer ping al: gateway, la interfaz northbound y un dominio en internet</t>
  </si>
  <si>
    <t>Respuesta desde los diferentes hosts</t>
  </si>
  <si>
    <t>T1.1</t>
  </si>
  <si>
    <t>Verificar la conectividad ICMP desde cada host de la LAN interna hacia el gateway.</t>
  </si>
  <si>
    <t>Desde PCwin11-1/2/3 hasta GW (eth0)</t>
  </si>
  <si>
    <t>T1.2</t>
  </si>
  <si>
    <t>Verificar la conectividad ICMP desde cada host de la LAN interna hacia la interfaz northbound.</t>
  </si>
  <si>
    <t>Desde PCwin11-1/2/3 hasta eth1</t>
  </si>
  <si>
    <t>T1.3</t>
  </si>
  <si>
    <t>Verificar salida a Internet desde cada host de la LAN interna mediante un destino público, incluyendo resolución DNS.</t>
  </si>
  <si>
    <t>Desde PCwin11-1/2/3 hasta internet</t>
  </si>
  <si>
    <t>T2</t>
  </si>
  <si>
    <t>Verificar que los servicios del stack GALP (Grafana, Loki, Prometheus, Alloy) están desplegados y en ejecución dentro del entorno Docker.</t>
  </si>
  <si>
    <t xml:space="preserve">Desde el navegador hasta los contenedores del stack GAPL </t>
  </si>
  <si>
    <t>En la VM llamda ds ejecutar el comando dps para ver los contenedores activos</t>
  </si>
  <si>
    <t>La tabla compuesta por ID,NOMBRE,STATUS y PUERTOS con los 4 contenedores</t>
  </si>
  <si>
    <t>T2.1</t>
  </si>
  <si>
    <t>Verificar que los servicios del stack GALP estén vivos y arriba</t>
  </si>
  <si>
    <t>Desde los contenedores del stack hasta el host</t>
  </si>
  <si>
    <t>En la maquina host, en el navegador ir a http://192.168.0.10:9090/targets</t>
  </si>
  <si>
    <t>En la pagina se vean los 4 servicis con 1/1 UP y state UP</t>
  </si>
  <si>
    <t>T3</t>
  </si>
  <si>
    <t>Verificar que zuricata y zeek, estén activos</t>
  </si>
  <si>
    <t>Desde los contenedores de IDS/IPS hasta el host</t>
  </si>
  <si>
    <t>1. Desplegar zeek y suricata en ds           2. Ejecutar el comando dps en ds</t>
  </si>
  <si>
    <t>La tabla compuesta por ID,NOMBRE,STATUS y PUERTOS con los 2 contenedores</t>
  </si>
  <si>
    <t>T3.1</t>
  </si>
  <si>
    <t>Verificar que los servicios del UTMStack estén activos</t>
  </si>
  <si>
    <t>Desde los contenedores del UTMstack hasta el host</t>
  </si>
  <si>
    <t>2. Ejecutar los comandos docker stack ls y dps para ver los contenedores</t>
  </si>
  <si>
    <t>La tabla compuesta por ID,NOMBRE,STATUS y PUERTOS con los x contenedores</t>
  </si>
  <si>
    <t>T3.2</t>
  </si>
  <si>
    <t>Verificar que los servicios de wazuh estén activos</t>
  </si>
  <si>
    <t>Desde los contenedores de wazuh hasta el host</t>
  </si>
  <si>
    <t>1. Desplegar wazuh en ds               2. Ejecutar el comando dps para ver los contenedores</t>
  </si>
  <si>
    <t>T4</t>
  </si>
  <si>
    <t>Verificar detección de ARP Spoofing</t>
  </si>
  <si>
    <t>Víctima (L2) -&gt; Atacante (MAC Spoofing) -&gt; Gateway</t>
  </si>
  <si>
    <t>T5</t>
  </si>
  <si>
    <t>Víctima -&gt; Atacante (Intercepción DNS) -&gt; IP Atacante (Sitio Falso)</t>
  </si>
  <si>
    <t>T6</t>
  </si>
  <si>
    <t>Verificacion de deteccion de mapeo de red</t>
  </si>
  <si>
    <t>Atacante -&gt; win11 -&gt; ds</t>
  </si>
  <si>
    <t>T7</t>
  </si>
  <si>
    <t>Verificación de detección de ennumareción  SMB</t>
  </si>
  <si>
    <t>Atacante -&gt; win11</t>
  </si>
  <si>
    <t>T8</t>
  </si>
  <si>
    <t>Verificacion de intentos de fuerza bruta de credenciales</t>
  </si>
  <si>
    <t>T9</t>
  </si>
  <si>
    <t>Verificacion de deteccion de movimiento lateral/ejecución remota</t>
  </si>
  <si>
    <t>T10</t>
  </si>
  <si>
    <t>Verificacion de escalación de privilegios</t>
  </si>
  <si>
    <t xml:space="preserve">Destino: 10.0.2.1 
Comando: ping 10.0.2.1 </t>
  </si>
  <si>
    <t>Respuerta desde 10.0.2.1:  PCwin11-1</t>
  </si>
  <si>
    <t>Respuerta desde 10.0.2.1:  PCwin11-2</t>
  </si>
  <si>
    <t>Respuerta desde 10.0.2.1:  PCwin11-3</t>
  </si>
  <si>
    <t>Respuerta desde 192.168.0.10:  PCwin11-1</t>
  </si>
  <si>
    <t>Respuerta desde 192.168.0.10:  PCwin11-2</t>
  </si>
  <si>
    <t>Respuerta desde 192.168.0.10:  PCwin11-3</t>
  </si>
  <si>
    <t>Respuesta desde (&lt;IP_NOKIA&gt;) nokia.com: :  PCwin11-1</t>
  </si>
  <si>
    <t>Respuesta desde (&lt;IP_NOKIA&gt;) nokia.com: :  PCwin11-2</t>
  </si>
  <si>
    <t>Respuesta desde (&lt;IP_NOKIA&gt;) nokia.com: :  PCwin11-3</t>
  </si>
  <si>
    <t>Destino: 192.168.0.10.
Comando: ping 192.168.0.10</t>
  </si>
  <si>
    <t>Destino: 192.168.0.10. 
Comando: ping nokia.com</t>
  </si>
  <si>
    <t>1. La tabla ARP de la Víctima asocia la IP del Gateway con la dirección MAC del Atacante.</t>
  </si>
  <si>
    <t>DESARROLLO DE UN SISTEMA DE GESTIÓN DE EVENTOS E INFORMACIÓN DE SEGURIDAD, DE BAJO COSTO, BASADO EN SOFTWARE LIBRE, ESPECIALIZADO EN LA DETECCIÓN Y APOYO A LA RESPUESTA ANTE ATAQUES DE TIPO RANSOMWARE.</t>
  </si>
  <si>
    <t>TRABAJO DE GRADO PARA OPTAR POR EL TÍTULO DE INGENIERO EN REDES Y TELECOMUNICACIONES</t>
  </si>
  <si>
    <t>Protocolo de Pruebas y Resultados</t>
  </si>
  <si>
    <r>
      <t xml:space="preserve">Estudiante: </t>
    </r>
    <r>
      <rPr>
        <b/>
        <sz val="11"/>
        <color theme="1"/>
        <rFont val="Aptos Narrow"/>
        <family val="2"/>
        <scheme val="minor"/>
      </rPr>
      <t xml:space="preserve">Juan Sebastián Clavijo Martínez </t>
    </r>
  </si>
  <si>
    <t>Fecha: Abril del 2026</t>
  </si>
  <si>
    <t>1. Se Habilita ip forwarding en la maquina atacante</t>
  </si>
  <si>
    <t>Net.ipv4.ip_forward = 1</t>
  </si>
  <si>
    <t>2. Ejecutar arp -a en la Víctima para registrar la MAC legítima del Gateway.</t>
  </si>
  <si>
    <t>3. Ejecutar comando de envenenamiento en el Atacante (arpspoof -i eth0 -t [IP_Victima] [IP_Gateway]).</t>
  </si>
  <si>
    <t>En las consolas se ve la misma máquinas para víctima y Gateway</t>
  </si>
  <si>
    <t>4. Ejecutar nuevamente arp -a en la Víctima.</t>
  </si>
  <si>
    <t>Se presenta la lisma Mac registradas en el ataque.</t>
  </si>
  <si>
    <t>5. Ejecutar el comando sudo tcpdump -i enp0s8 arp -n</t>
  </si>
  <si>
    <t>Retorna la secuencia 
20:39:25.692987 ARP, reply 10,0,2,15 is -at 08:00:27:8a:35:d2, length 46 ….</t>
  </si>
  <si>
    <t>Verificar deteccion de DNS spoofing	Víctima -&gt; Atacante (Intercepción DNS) -&gt; IP Atacante (Sitio Falso)</t>
  </si>
  <si>
    <t>1.	En el Atacante, iniciar el servicio de spoofing DNS (sudo ettercap -G)</t>
  </si>
  <si>
    <t>2. una vez en la herramienta gráfica, es necesario habilitar el plugin para dns spoofing en el apartado de plugins</t>
  </si>
  <si>
    <t xml:space="preserve">3.se hace un escaneo de la red, con el botón hosts list y se selecciona el host al que se desea hacer el spoofing </t>
  </si>
  <si>
    <t>4. dentro del menu de mitm, hay que activar la opción de arp spoofing para poner en marcha el ataque</t>
  </si>
  <si>
    <t>5. En la Víctima, intentar acceder vía navegador web a nokia.com.</t>
  </si>
  <si>
    <t>Instalación del componente</t>
  </si>
  <si>
    <t>Salida de los elementos de red definidos en el host</t>
  </si>
  <si>
    <t>El comando nslookup devuelve la IP del Atacante para el dominio consultado.</t>
  </si>
  <si>
    <t>Selección de la opción mitm</t>
  </si>
  <si>
    <t>Activación del servicio</t>
  </si>
  <si>
    <t>Visualización en el navegador de la página intervenida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</si>
</sst>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i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3" fillId="0" borderId="1" xfId="1" applyBorder="1"/>
    <xf numFmtId="0" fontId="3" fillId="0" borderId="1" xfId="1" applyBorder="1" applyAlignment="1">
      <alignment horizontal="left" vertical="center"/>
    </xf>
    <xf numFmtId="0" fontId="3" fillId="0" borderId="1" xfId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3" fillId="3" borderId="1" xfId="1" applyFill="1" applyBorder="1" applyAlignment="1">
      <alignment horizontal="left" vertical="center"/>
    </xf>
    <xf numFmtId="0" fontId="3" fillId="3" borderId="1" xfId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63501</xdr:colOff>
      <xdr:row>0</xdr:row>
      <xdr:rowOff>82550</xdr:rowOff>
    </xdr:from>
    <xdr:to>
      <xdr:col>1</xdr:col>
      <xdr:colOff>840031</xdr:colOff>
      <xdr:row>4</xdr:row>
      <xdr:rowOff>158750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BBE113-21A6-3733-57F5-360DF1C0E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1" y="82550"/>
          <a:ext cx="1100380" cy="1352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github.com/jclavijomartinez/tesis/blob/main/imagenes/T1-1_W2_ping_gateway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9D26C-F01D-4F0D-9B0D-9A3523484190}">
  <dimension ref="B1:I37"/>
  <sheetViews>
    <sheetView tabSelected="1" topLeftCell="A2" zoomScale="70" zoomScaleNormal="70" workbookViewId="0">
      <pane ySplit="5" topLeftCell="A7" activePane="bottomLeft" state="frozen"/>
      <selection activeCell="A2" sqref="A2"/>
      <selection pane="bottomLeft" activeCell="F31" sqref="F31"/>
    </sheetView>
  </sheetViews>
  <sheetFormatPr baseColWidth="10" defaultRowHeight="14.5" x14ac:dyDescent="0.35"/>
  <cols>
    <col min="1" max="1" width="4.6328125" customWidth="1"/>
    <col min="2" max="2" width="12.08984375" customWidth="1"/>
    <col min="3" max="3" width="33.7265625" customWidth="1"/>
    <col min="4" max="4" width="33.26953125" customWidth="1"/>
    <col min="5" max="5" width="38.26953125" customWidth="1"/>
    <col min="6" max="6" width="48.54296875" customWidth="1"/>
    <col min="7" max="7" width="36.6328125" customWidth="1"/>
    <col min="8" max="8" width="28.54296875" customWidth="1"/>
  </cols>
  <sheetData>
    <row r="1" spans="2:8" ht="23" customHeight="1" x14ac:dyDescent="0.35">
      <c r="C1" s="23" t="s">
        <v>75</v>
      </c>
      <c r="D1" s="23"/>
      <c r="E1" s="23"/>
      <c r="F1" s="23"/>
      <c r="G1" s="23"/>
    </row>
    <row r="2" spans="2:8" ht="38.5" customHeight="1" x14ac:dyDescent="0.35">
      <c r="C2" s="22" t="s">
        <v>74</v>
      </c>
      <c r="D2" s="22"/>
      <c r="E2" s="22"/>
      <c r="F2" s="22"/>
      <c r="G2" s="22"/>
    </row>
    <row r="3" spans="2:8" ht="19.5" customHeight="1" x14ac:dyDescent="0.45">
      <c r="C3" s="24" t="s">
        <v>76</v>
      </c>
      <c r="D3" s="24"/>
      <c r="E3" s="24"/>
      <c r="F3" s="24"/>
      <c r="G3" s="24"/>
    </row>
    <row r="4" spans="2:8" ht="19.5" customHeight="1" x14ac:dyDescent="0.35">
      <c r="C4" t="s">
        <v>77</v>
      </c>
    </row>
    <row r="5" spans="2:8" ht="19.5" customHeight="1" x14ac:dyDescent="0.35">
      <c r="C5" t="s">
        <v>78</v>
      </c>
    </row>
    <row r="6" spans="2:8" ht="29" x14ac:dyDescent="0.35">
      <c r="B6" s="10" t="s">
        <v>0</v>
      </c>
      <c r="C6" s="8" t="s">
        <v>1</v>
      </c>
      <c r="D6" s="8" t="s">
        <v>2</v>
      </c>
      <c r="E6" s="8" t="s">
        <v>3</v>
      </c>
      <c r="F6" s="8" t="s">
        <v>4</v>
      </c>
      <c r="G6" s="8" t="s">
        <v>5</v>
      </c>
      <c r="H6" s="1"/>
    </row>
    <row r="7" spans="2:8" x14ac:dyDescent="0.35">
      <c r="B7" s="11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/>
    </row>
    <row r="8" spans="2:8" x14ac:dyDescent="0.35">
      <c r="B8" s="25" t="s">
        <v>11</v>
      </c>
      <c r="C8" s="16" t="s">
        <v>12</v>
      </c>
      <c r="D8" s="16" t="s">
        <v>13</v>
      </c>
      <c r="E8" s="16" t="s">
        <v>61</v>
      </c>
      <c r="F8" s="3" t="s">
        <v>62</v>
      </c>
      <c r="G8" s="5" t="str">
        <f>HYPERLINK("https://github.com/jclavijomartinez/tesis/blob/main/imagenes/T1-1_W2_ping_gateway.png", "Ver Evidencia PCWin11-1")</f>
        <v>Ver Evidencia PCWin11-1</v>
      </c>
    </row>
    <row r="9" spans="2:8" x14ac:dyDescent="0.35">
      <c r="B9" s="25"/>
      <c r="C9" s="16"/>
      <c r="D9" s="16"/>
      <c r="E9" s="16"/>
      <c r="F9" s="3" t="s">
        <v>63</v>
      </c>
      <c r="G9" s="5" t="str">
        <f>HYPERLINK("https://github.com/jclavijomartinez/tesis/blob/main/imagenes/T1-1_W2_ping_gateway.png", "Ver Evidencia PCWin11-2")</f>
        <v>Ver Evidencia PCWin11-2</v>
      </c>
    </row>
    <row r="10" spans="2:8" x14ac:dyDescent="0.35">
      <c r="B10" s="25"/>
      <c r="C10" s="16"/>
      <c r="D10" s="16"/>
      <c r="E10" s="16"/>
      <c r="F10" s="3" t="s">
        <v>64</v>
      </c>
      <c r="G10" s="5" t="str">
        <f>HYPERLINK("https://github.com/jclavijomartinez/tesis/blob/main/imagenes/T1-1_W3_ping_gateway.png", "Ver Evidencia PCWin11-3")</f>
        <v>Ver Evidencia PCWin11-3</v>
      </c>
    </row>
    <row r="11" spans="2:8" ht="16.5" customHeight="1" x14ac:dyDescent="0.35">
      <c r="B11" s="25" t="s">
        <v>14</v>
      </c>
      <c r="C11" s="16" t="s">
        <v>15</v>
      </c>
      <c r="D11" s="26" t="s">
        <v>16</v>
      </c>
      <c r="E11" s="16" t="s">
        <v>71</v>
      </c>
      <c r="F11" s="3" t="s">
        <v>65</v>
      </c>
      <c r="G11" s="5" t="str">
        <f>HYPERLINK("https://github.com/jclavijomartinez/tesis/blob/main/imagenes/T1-2_W1_ping_northbound.png", "Ver Evidencia PCWin11-1")</f>
        <v>Ver Evidencia PCWin11-1</v>
      </c>
    </row>
    <row r="12" spans="2:8" x14ac:dyDescent="0.35">
      <c r="B12" s="25"/>
      <c r="C12" s="16"/>
      <c r="D12" s="26"/>
      <c r="E12" s="16"/>
      <c r="F12" s="3" t="s">
        <v>66</v>
      </c>
      <c r="G12" s="5" t="str">
        <f>HYPERLINK("https://github.com/jclavijomartinez/tesis/blob/main/imagenes/T1-2_W2_ping_northbound.png", "Ver Evidencia PCWin11-2")</f>
        <v>Ver Evidencia PCWin11-2</v>
      </c>
    </row>
    <row r="13" spans="2:8" x14ac:dyDescent="0.35">
      <c r="B13" s="25"/>
      <c r="C13" s="16"/>
      <c r="D13" s="26"/>
      <c r="E13" s="16"/>
      <c r="F13" s="3" t="s">
        <v>67</v>
      </c>
      <c r="G13" s="5" t="str">
        <f>HYPERLINK("https://github.com/jclavijomartinez/tesis/blob/main/imagenes/T1-2_W3_ping_northbound.png", "Ver Evidencia PCWin11-3")</f>
        <v>Ver Evidencia PCWin11-3</v>
      </c>
    </row>
    <row r="14" spans="2:8" ht="12.5" customHeight="1" x14ac:dyDescent="0.35">
      <c r="B14" s="25" t="s">
        <v>17</v>
      </c>
      <c r="C14" s="16" t="s">
        <v>18</v>
      </c>
      <c r="D14" s="16" t="s">
        <v>19</v>
      </c>
      <c r="E14" s="16" t="s">
        <v>72</v>
      </c>
      <c r="F14" s="3" t="s">
        <v>68</v>
      </c>
      <c r="G14" s="5" t="str">
        <f>HYPERLINK("https://github.com/jclavijomartinez/tesis/blob/main/imagenes/T1-3_W1_ping_nokia.png", "Ver Evidencia PCWin11-1")</f>
        <v>Ver Evidencia PCWin11-1</v>
      </c>
    </row>
    <row r="15" spans="2:8" x14ac:dyDescent="0.35">
      <c r="B15" s="25"/>
      <c r="C15" s="16"/>
      <c r="D15" s="16"/>
      <c r="E15" s="16"/>
      <c r="F15" s="3" t="s">
        <v>69</v>
      </c>
      <c r="G15" s="5" t="str">
        <f>HYPERLINK("https://github.com/jclavijomartinez/tesis/blob/main/imagenes/T1-3_W2_ping_nokia.png", "Ver Evidencia PCWin11-2")</f>
        <v>Ver Evidencia PCWin11-2</v>
      </c>
    </row>
    <row r="16" spans="2:8" x14ac:dyDescent="0.35">
      <c r="B16" s="25"/>
      <c r="C16" s="16"/>
      <c r="D16" s="16"/>
      <c r="E16" s="16"/>
      <c r="F16" s="3" t="s">
        <v>70</v>
      </c>
      <c r="G16" s="5" t="str">
        <f>HYPERLINK("https://github.com/jclavijomartinez/tesis/blob/main/imagenes/T1-3_W3_ping_nokia.png", "Ver Evidencia PCWin11-3")</f>
        <v>Ver Evidencia PCWin11-3</v>
      </c>
    </row>
    <row r="17" spans="2:9" ht="58" x14ac:dyDescent="0.35">
      <c r="B17" s="12" t="s">
        <v>20</v>
      </c>
      <c r="C17" s="4" t="s">
        <v>21</v>
      </c>
      <c r="D17" s="4" t="s">
        <v>22</v>
      </c>
      <c r="E17" s="4" t="s">
        <v>23</v>
      </c>
      <c r="F17" s="4" t="s">
        <v>24</v>
      </c>
      <c r="G17" s="6" t="str">
        <f>HYPERLINK("https://github.com/jclavijomartinez/tesis/blob/main/imagenes/T2_docker_ps_galp.png", "Ver Evidencia Stack GLAP")</f>
        <v>Ver Evidencia Stack GLAP</v>
      </c>
    </row>
    <row r="18" spans="2:9" ht="29" x14ac:dyDescent="0.35">
      <c r="B18" s="13" t="s">
        <v>25</v>
      </c>
      <c r="C18" s="4" t="s">
        <v>26</v>
      </c>
      <c r="D18" s="4" t="s">
        <v>27</v>
      </c>
      <c r="E18" s="4" t="s">
        <v>28</v>
      </c>
      <c r="F18" s="4" t="s">
        <v>29</v>
      </c>
      <c r="G18" s="7" t="str">
        <f>HYPERLINK("https://github.com/jclavijomartinez/tesis/blob/main/imagenes/T2-1_galp_targets_up.png", "Ver Evidencia Verificacion de servicios del stack")</f>
        <v>Ver Evidencia Verificacion de servicios del stack</v>
      </c>
    </row>
    <row r="19" spans="2:9" ht="29" x14ac:dyDescent="0.35">
      <c r="B19" s="13" t="s">
        <v>30</v>
      </c>
      <c r="C19" s="4" t="s">
        <v>31</v>
      </c>
      <c r="D19" s="4" t="s">
        <v>32</v>
      </c>
      <c r="E19" s="4" t="s">
        <v>33</v>
      </c>
      <c r="F19" s="4" t="s">
        <v>34</v>
      </c>
      <c r="G19" s="7" t="str">
        <f>HYPERLINK("https://github.com/jclavijomartinez/tesis/blob/main/imagenes/T3_suricata_zeek_docker_ps.png", "Ver Evidencia de activación de Zuticata y Zeek")</f>
        <v>Ver Evidencia de activación de Zuticata y Zeek</v>
      </c>
    </row>
    <row r="20" spans="2:9" ht="29" x14ac:dyDescent="0.35">
      <c r="B20" s="13" t="s">
        <v>35</v>
      </c>
      <c r="C20" s="4" t="s">
        <v>36</v>
      </c>
      <c r="D20" s="4" t="s">
        <v>37</v>
      </c>
      <c r="E20" s="4" t="s">
        <v>38</v>
      </c>
      <c r="F20" s="4" t="s">
        <v>39</v>
      </c>
      <c r="G20" s="7" t="str">
        <f>HYPERLINK("https://github.com/jclavijomartinez/tesis/blob/main/imagenes/T3-1_utmstack_docker_ps.png", "Ver Evidencia de activación UTMStack")</f>
        <v>Ver Evidencia de activación UTMStack</v>
      </c>
    </row>
    <row r="21" spans="2:9" ht="29" x14ac:dyDescent="0.35">
      <c r="B21" s="13" t="s">
        <v>40</v>
      </c>
      <c r="C21" s="4" t="s">
        <v>41</v>
      </c>
      <c r="D21" s="4" t="s">
        <v>42</v>
      </c>
      <c r="E21" s="4" t="s">
        <v>43</v>
      </c>
      <c r="F21" s="4" t="s">
        <v>39</v>
      </c>
      <c r="G21" s="7" t="str">
        <f>HYPERLINK("https://github.com/jclavijomartinez/tesis/blob/main/imagenes/T3-2_wazuh_docker_ps.png", "Ver Evidencia de activación servicios Wazuh")</f>
        <v>Ver Evidencia de activación servicios Wazuh</v>
      </c>
    </row>
    <row r="22" spans="2:9" ht="29" x14ac:dyDescent="0.35">
      <c r="B22" s="16" t="s">
        <v>44</v>
      </c>
      <c r="C22" s="16" t="s">
        <v>45</v>
      </c>
      <c r="D22" s="16" t="s">
        <v>46</v>
      </c>
      <c r="E22" s="4" t="s">
        <v>79</v>
      </c>
      <c r="F22" s="4" t="s">
        <v>80</v>
      </c>
      <c r="G22" s="14" t="str">
        <f>HYPERLINK("https://github.com/jclavijomartinez/tesis/blob/main/imagenes/T4_N1_ip_forward.png", "Ver Evidencia habilitacion del forwarding")</f>
        <v>Ver Evidencia habilitacion del forwarding</v>
      </c>
    </row>
    <row r="23" spans="2:9" ht="35.5" customHeight="1" x14ac:dyDescent="0.35">
      <c r="B23" s="16"/>
      <c r="C23" s="16"/>
      <c r="D23" s="16"/>
      <c r="E23" s="4" t="s">
        <v>81</v>
      </c>
      <c r="F23" s="9" t="s">
        <v>73</v>
      </c>
      <c r="G23" s="15" t="str">
        <f>HYPERLINK("https://github.com/jclavijomartinez/tesis/blob/main/imagenes/T4_arp_initial.png", "Ver Evidencia MAC legitima del Gateway")</f>
        <v>Ver Evidencia MAC legitima del Gateway</v>
      </c>
    </row>
    <row r="24" spans="2:9" ht="46" customHeight="1" x14ac:dyDescent="0.35">
      <c r="B24" s="16"/>
      <c r="C24" s="16"/>
      <c r="D24" s="16"/>
      <c r="E24" s="4" t="s">
        <v>82</v>
      </c>
      <c r="F24" s="4" t="s">
        <v>83</v>
      </c>
      <c r="G24" s="15" t="str">
        <f>HYPERLINK("https://github.com/jclavijomartinez/tesis/blob/main/imagenes/T4_N2_Envenenamiento.png", "Ver Evidencia envenenamiento (Arpsoof)")</f>
        <v>Ver Evidencia envenenamiento (Arpsoof)</v>
      </c>
      <c r="I24" s="2"/>
    </row>
    <row r="25" spans="2:9" ht="19" customHeight="1" x14ac:dyDescent="0.35">
      <c r="B25" s="16"/>
      <c r="C25" s="16"/>
      <c r="D25" s="16"/>
      <c r="E25" s="4" t="s">
        <v>84</v>
      </c>
      <c r="F25" s="4" t="s">
        <v>85</v>
      </c>
      <c r="G25" s="15" t="str">
        <f>HYPERLINK("https://github.com/jclavijomartinez/tesis/blob/main/imagenes/T4_arp_after_attack.png", "Ver Evidencia ARP después del ataque")</f>
        <v>Ver Evidencia ARP después del ataque</v>
      </c>
    </row>
    <row r="26" spans="2:9" ht="47" customHeight="1" x14ac:dyDescent="0.35">
      <c r="B26" s="16"/>
      <c r="C26" s="16"/>
      <c r="D26" s="16"/>
      <c r="E26" s="4" t="s">
        <v>86</v>
      </c>
      <c r="F26" s="4" t="s">
        <v>87</v>
      </c>
      <c r="G26" s="15" t="str">
        <f>HYPERLINK("https://github.com/jclavijomartinez/tesis/blob/main/imagenes/T4_N3_TCPDump.png", "Ver Evidencia aplicación del TCPDump")</f>
        <v>Ver Evidencia aplicación del TCPDump</v>
      </c>
    </row>
    <row r="27" spans="2:9" ht="41.5" customHeight="1" x14ac:dyDescent="0.35">
      <c r="B27" s="19" t="s">
        <v>47</v>
      </c>
      <c r="C27" s="19" t="s">
        <v>88</v>
      </c>
      <c r="D27" s="19" t="s">
        <v>48</v>
      </c>
      <c r="E27" s="9" t="s">
        <v>89</v>
      </c>
      <c r="F27" s="9" t="s">
        <v>96</v>
      </c>
      <c r="G27" s="7" t="str">
        <f>HYPERLINK("https://github.com/jclavijomartinez/tesis/blob/main/imagenes/T5_ettercap_start.png", "Ver Evidencia iniciación del servicio spoofing")</f>
        <v>Ver Evidencia iniciación del servicio spoofing</v>
      </c>
    </row>
    <row r="28" spans="2:9" ht="43.5" x14ac:dyDescent="0.35">
      <c r="B28" s="20"/>
      <c r="C28" s="20"/>
      <c r="D28" s="20"/>
      <c r="E28" s="9" t="s">
        <v>90</v>
      </c>
      <c r="F28" s="9" t="s">
        <v>94</v>
      </c>
      <c r="G28" s="7" t="str">
        <f>HYPERLINK("https://github.com/jclavijomartinez/tesis/blob/main/imagenes/T5_ettercap_dns_plugin.png", "Ver Evidencia habilitación del plugin")</f>
        <v>Ver Evidencia habilitación del plugin</v>
      </c>
    </row>
    <row r="29" spans="2:9" ht="43.5" x14ac:dyDescent="0.35">
      <c r="B29" s="20"/>
      <c r="C29" s="20"/>
      <c r="D29" s="20"/>
      <c r="E29" s="9" t="s">
        <v>91</v>
      </c>
      <c r="F29" s="9" t="s">
        <v>95</v>
      </c>
      <c r="G29" s="7" t="str">
        <f>HYPERLINK("https://github.com/jclavijomartinez/tesis/blob/main/imagenes/T5_ettercap_hosts_scan.png", "Ver Evidencia selección del host")</f>
        <v>Ver Evidencia selección del host</v>
      </c>
    </row>
    <row r="30" spans="2:9" ht="32.5" customHeight="1" x14ac:dyDescent="0.35">
      <c r="B30" s="20"/>
      <c r="C30" s="20"/>
      <c r="D30" s="20"/>
      <c r="E30" s="17" t="s">
        <v>92</v>
      </c>
      <c r="F30" s="9" t="s">
        <v>97</v>
      </c>
      <c r="G30" s="7" t="str">
        <f>HYPERLINK("https://github.com/jclavijomartinez/tesis/blob/main/imagenes/T5_ettercap_arp_spoofing.png", "Ver Evidencia activación ARP Spoofing")</f>
        <v>Ver Evidencia activación ARP Spoofing</v>
      </c>
    </row>
    <row r="31" spans="2:9" x14ac:dyDescent="0.35">
      <c r="B31" s="20"/>
      <c r="C31" s="20"/>
      <c r="D31" s="20"/>
      <c r="E31" s="18"/>
      <c r="F31" s="9" t="s">
        <v>98</v>
      </c>
      <c r="G31" s="7" t="str">
        <f>HYPERLINK("https://github.com/jclavijomartinez/tesis/blob/main/imagenes/T5_ettercap_attack_active.png", "Ver Evidencia del servicio activado")</f>
        <v>Ver Evidencia del servicio activado</v>
      </c>
    </row>
    <row r="32" spans="2:9" ht="29" x14ac:dyDescent="0.35">
      <c r="B32" s="21"/>
      <c r="C32" s="21"/>
      <c r="D32" s="21"/>
      <c r="E32" s="9" t="s">
        <v>93</v>
      </c>
      <c r="F32" s="9" t="s">
        <v>99</v>
      </c>
      <c r="G32" s="7" t="str">
        <f>HYPERLINK("https://github.com/jclavijomartinez/tesis/blob/main/imagenes/T5_victim_fake_site.png", "Ver Evidencia del sitio falso")</f>
        <v>Ver Evidencia del sitio falso</v>
      </c>
    </row>
    <row r="33" spans="2:7" ht="29" x14ac:dyDescent="0.35">
      <c r="B33" s="4" t="s">
        <v>49</v>
      </c>
      <c r="C33" s="4" t="s">
        <v>50</v>
      </c>
      <c r="D33" s="4" t="s">
        <v>51</v>
      </c>
      <c r="E33" s="4"/>
      <c r="F33" s="4"/>
      <c r="G33" s="4"/>
    </row>
    <row r="34" spans="2:7" ht="29" x14ac:dyDescent="0.35">
      <c r="B34" s="4" t="s">
        <v>52</v>
      </c>
      <c r="C34" s="4" t="s">
        <v>53</v>
      </c>
      <c r="D34" s="4" t="s">
        <v>54</v>
      </c>
      <c r="E34" s="4"/>
      <c r="F34" s="4"/>
      <c r="G34" s="4"/>
    </row>
    <row r="35" spans="2:7" ht="29" x14ac:dyDescent="0.35">
      <c r="B35" s="4" t="s">
        <v>55</v>
      </c>
      <c r="C35" s="4" t="s">
        <v>56</v>
      </c>
      <c r="D35" s="4" t="s">
        <v>54</v>
      </c>
      <c r="E35" s="4"/>
      <c r="F35" s="4"/>
      <c r="G35" s="4"/>
    </row>
    <row r="36" spans="2:7" ht="29" x14ac:dyDescent="0.35">
      <c r="B36" s="4" t="s">
        <v>57</v>
      </c>
      <c r="C36" s="4" t="s">
        <v>58</v>
      </c>
      <c r="D36" s="4" t="s">
        <v>54</v>
      </c>
      <c r="E36" s="4"/>
      <c r="F36" s="4"/>
      <c r="G36" s="4"/>
    </row>
    <row r="37" spans="2:7" x14ac:dyDescent="0.35">
      <c r="B37" s="4" t="s">
        <v>59</v>
      </c>
      <c r="C37" s="4" t="s">
        <v>60</v>
      </c>
      <c r="D37" s="4" t="s">
        <v>54</v>
      </c>
      <c r="E37" s="4"/>
      <c r="F37" s="4"/>
      <c r="G37" s="4"/>
    </row>
  </sheetData>
  <mergeCells count="22">
    <mergeCell ref="B14:B16"/>
    <mergeCell ref="E11:E13"/>
    <mergeCell ref="C11:C13"/>
    <mergeCell ref="D11:D13"/>
    <mergeCell ref="B8:B10"/>
    <mergeCell ref="C8:C10"/>
    <mergeCell ref="D8:D10"/>
    <mergeCell ref="E8:E10"/>
    <mergeCell ref="B11:B13"/>
    <mergeCell ref="C2:G2"/>
    <mergeCell ref="C1:G1"/>
    <mergeCell ref="C3:G3"/>
    <mergeCell ref="C22:C26"/>
    <mergeCell ref="D22:D26"/>
    <mergeCell ref="C14:C16"/>
    <mergeCell ref="D14:D16"/>
    <mergeCell ref="E14:E16"/>
    <mergeCell ref="B22:B26"/>
    <mergeCell ref="E30:E31"/>
    <mergeCell ref="B27:B32"/>
    <mergeCell ref="C27:C32"/>
    <mergeCell ref="D27:D32"/>
  </mergeCells>
  <phoneticPr fontId="2" type="noConversion"/>
  <hyperlinks>
    <hyperlink ref="G9" r:id="rId1" display="https://github.com/jclavijomartinez/tesis/blob/main/imagenes/T1-1_W2_ping_gateway.png" xr:uid="{27E954EB-EFD6-4E1E-B4F8-32FBE5783E55}"/>
  </hyperlinks>
  <pageMargins left="0.7" right="0.7" top="0.75" bottom="0.75" header="0.3" footer="0.3"/>
  <ignoredErrors>
    <ignoredError sqref="G11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Fase Simulacion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Alberto Clavijo Cuineme</dc:creator>
  <cp:lastModifiedBy>Luis Alberto Clavijo Cuineme</cp:lastModifiedBy>
  <dcterms:created xsi:type="dcterms:W3CDTF">2026-04-22T15:24:20Z</dcterms:created>
  <dcterms:modified xsi:type="dcterms:W3CDTF">2026-04-23T20:56:26Z</dcterms:modified>
</cp:coreProperties>
</file>
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C\2026\Sebastian\Tesis_pruebas\"/>
    </mc:Choice>
  </mc:AlternateContent>
  <xr:revisionPtr revIDLastSave="0" documentId="13_ncr:1_{19CCC152-0063-48BE-A5CB-8C363685A77F}" xr6:coauthVersionLast="47" xr6:coauthVersionMax="47" xr10:uidLastSave="{00000000-0000-0000-0000-000000000000}"/>
  <bookViews>
    <workbookView xWindow="-120" yWindow="-120" windowWidth="38640" windowHeight="21120" xr2:uid="{63CCC3CA-1558-461E-B0B6-AA37C2AD9662}"/>
  </bookViews>
  <sheets>
    <sheet name="Fase Simul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4" i="1" l="1"/>
  <c r="G43" i="1"/>
  <c r="G42" i="1"/>
  <c r="G39" i="1"/>
  <c r="G41" i="1"/>
  <c r="G40" i="1"/>
  <c r="G38" i="1"/>
  <c r="G35" i="1"/>
  <c r="G37" i="1"/>
  <c r="G34" i="1"/>
  <c r="G33" i="1"/>
  <c r="G32" i="1"/>
  <c r="G31" i="1"/>
  <c r="G30" i="1"/>
  <c r="G29" i="1"/>
  <c r="G28" i="1"/>
  <c r="G27" i="1"/>
  <c r="G26" i="1"/>
  <c r="G25" i="1"/>
  <c r="G23" i="1"/>
  <c r="G21" i="1"/>
  <c r="G24" i="1"/>
  <c r="G22" i="1"/>
  <c r="G20" i="1"/>
  <c r="G19" i="1"/>
  <c r="G18" i="1"/>
  <c r="G17" i="1"/>
  <c r="G16" i="1"/>
  <c r="G15" i="1"/>
  <c r="G14" i="1"/>
  <c r="G13" i="1"/>
  <c r="G12" i="1"/>
  <c r="G11" i="1"/>
  <c r="G10" i="1"/>
  <c r="G8" i="1"/>
  <c r="G9" i="1"/>
</calcChain>
</file>

<file path=xl/sharedStrings.xml><?xml version="1.0" encoding="utf-8"?>
<sst xmlns="http://schemas.openxmlformats.org/spreadsheetml/2006/main" count="110" uniqueCount="107">
  <si>
    <t>Numero de Prueba</t>
  </si>
  <si>
    <t>T1</t>
  </si>
  <si>
    <t>Verificación de conectividad completa</t>
  </si>
  <si>
    <t>conexión de todos los nodos de la red a internet</t>
  </si>
  <si>
    <t>En cada máquina de la LAN interna, hacer ping al: gateway, la interfaz northbound y un dominio en internet</t>
  </si>
  <si>
    <t>Respuesta desde los diferentes hosts</t>
  </si>
  <si>
    <t>T1.1</t>
  </si>
  <si>
    <t>Verificar la conectividad ICMP desde cada host de la LAN interna hacia el gateway.</t>
  </si>
  <si>
    <t>Desde PCwin11-1/2/3 hasta GW (eth0)</t>
  </si>
  <si>
    <t>T1.2</t>
  </si>
  <si>
    <t>Verificar la conectividad ICMP desde cada host de la LAN interna hacia la interfaz northbound.</t>
  </si>
  <si>
    <t>Desde PCwin11-1/2/3 hasta eth1</t>
  </si>
  <si>
    <t>T1.3</t>
  </si>
  <si>
    <t>Verificar salida a Internet desde cada host de la LAN interna mediante un destino público, incluyendo resolución DNS.</t>
  </si>
  <si>
    <t>Desde PCwin11-1/2/3 hasta internet</t>
  </si>
  <si>
    <t>T2</t>
  </si>
  <si>
    <t>Verificar que los servicios del stack GALP (Grafana, Loki, Prometheus, Alloy) están desplegados y en ejecución dentro del entorno Docker.</t>
  </si>
  <si>
    <t xml:space="preserve">Desde el navegador hasta los contenedores del stack GAPL </t>
  </si>
  <si>
    <t>La tabla compuesta por ID,NOMBRE,STATUS y PUERTOS con los 4 contenedores</t>
  </si>
  <si>
    <t>T2.1</t>
  </si>
  <si>
    <t>Verificar que los servicios del stack GALP estén vivos y arriba</t>
  </si>
  <si>
    <t>Desde los contenedores del stack hasta el host</t>
  </si>
  <si>
    <t>En la maquina host, en el navegador ir a http://192.168.0.10:9090/targets</t>
  </si>
  <si>
    <t>T3</t>
  </si>
  <si>
    <t>Verificar que zuricata y zeek, estén activos</t>
  </si>
  <si>
    <t>Desde los contenedores de IDS/IPS hasta el host</t>
  </si>
  <si>
    <t>1. Desplegar zeek y suricata en ds           2. Ejecutar el comando dps en ds</t>
  </si>
  <si>
    <t>La tabla compuesta por ID,NOMBRE,STATUS y PUERTOS con los 2 contenedores</t>
  </si>
  <si>
    <t>T3.1</t>
  </si>
  <si>
    <t>La tabla compuesta por ID,NOMBRE,STATUS y PUERTOS con los x contenedores</t>
  </si>
  <si>
    <t>Verificar que los servicios de wazuh estén activos</t>
  </si>
  <si>
    <t>Desde los contenedores de wazuh hasta el host</t>
  </si>
  <si>
    <t>1. Desplegar wazuh en ds               2. Ejecutar el comando dps para ver los contenedores</t>
  </si>
  <si>
    <t>T4</t>
  </si>
  <si>
    <t>Verificar detección de ARP Spoofing</t>
  </si>
  <si>
    <t>Víctima (L2) -&gt; Atacante (MAC Spoofing) -&gt; Gateway</t>
  </si>
  <si>
    <t>T5</t>
  </si>
  <si>
    <t>Víctima -&gt; Atacante (Intercepción DNS) -&gt; IP Atacante (Sitio Falso)</t>
  </si>
  <si>
    <t>T6</t>
  </si>
  <si>
    <t>Atacante -&gt; win11 -&gt; ds</t>
  </si>
  <si>
    <t>T7</t>
  </si>
  <si>
    <t>Atacante -&gt; win11</t>
  </si>
  <si>
    <t>T8</t>
  </si>
  <si>
    <t>T9</t>
  </si>
  <si>
    <t xml:space="preserve">Destino: 10.0.2.1 
Comando: ping 10.0.2.1 </t>
  </si>
  <si>
    <t>Respuerta desde 10.0.2.1:  PCwin11-1</t>
  </si>
  <si>
    <t>Respuerta desde 10.0.2.1:  PCwin11-2</t>
  </si>
  <si>
    <t>Respuerta desde 10.0.2.1:  PCwin11-3</t>
  </si>
  <si>
    <t>Respuerta desde 192.168.0.10:  PCwin11-1</t>
  </si>
  <si>
    <t>Respuerta desde 192.168.0.10:  PCwin11-2</t>
  </si>
  <si>
    <t>Respuerta desde 192.168.0.10:  PCwin11-3</t>
  </si>
  <si>
    <t>Respuesta desde (&lt;IP_NOKIA&gt;) nokia.com: :  PCwin11-1</t>
  </si>
  <si>
    <t>Respuesta desde (&lt;IP_NOKIA&gt;) nokia.com: :  PCwin11-2</t>
  </si>
  <si>
    <t>Respuesta desde (&lt;IP_NOKIA&gt;) nokia.com: :  PCwin11-3</t>
  </si>
  <si>
    <t>Destino: 192.168.0.10.
Comando: ping 192.168.0.10</t>
  </si>
  <si>
    <t>Destino: 192.168.0.10. 
Comando: ping nokia.com</t>
  </si>
  <si>
    <t>1. La tabla ARP de la Víctima asocia la IP del Gateway con la dirección MAC del Atacante.</t>
  </si>
  <si>
    <t>DESARROLLO DE UN SISTEMA DE GESTIÓN DE EVENTOS E INFORMACIÓN DE SEGURIDAD, DE BAJO COSTO, BASADO EN SOFTWARE LIBRE, ESPECIALIZADO EN LA DETECCIÓN Y APOYO A LA RESPUESTA ANTE ATAQUES DE TIPO RANSOMWARE.</t>
  </si>
  <si>
    <t>TRABAJO DE GRADO PARA OPTAR POR EL TÍTULO DE INGENIERO EN REDES Y TELECOMUNICACIONES</t>
  </si>
  <si>
    <t>Protocolo de Pruebas y Resultados</t>
  </si>
  <si>
    <r>
      <t xml:space="preserve">Estudiante: </t>
    </r>
    <r>
      <rPr>
        <b/>
        <sz val="11"/>
        <color theme="1"/>
        <rFont val="Aptos Narrow"/>
        <family val="2"/>
        <scheme val="minor"/>
      </rPr>
      <t xml:space="preserve">Juan Sebastián Clavijo Martínez </t>
    </r>
  </si>
  <si>
    <t>Fecha: Abril del 2026</t>
  </si>
  <si>
    <t>1. Se Habilita ip forwarding en la maquina atacante</t>
  </si>
  <si>
    <t>Net.ipv4.ip_forward = 1</t>
  </si>
  <si>
    <t>2. Ejecutar arp -a en la Víctima para registrar la MAC legítima del Gateway.</t>
  </si>
  <si>
    <t>3. Ejecutar comando de envenenamiento en el Atacante (arpspoof -i eth0 -t [IP_Victima] [IP_Gateway]).</t>
  </si>
  <si>
    <t>En las consolas se ve la misma máquinas para víctima y Gateway</t>
  </si>
  <si>
    <t>4. Ejecutar nuevamente arp -a en la Víctima.</t>
  </si>
  <si>
    <t>5. Ejecutar el comando sudo tcpdump -i enp0s8 arp -n</t>
  </si>
  <si>
    <t>Retorna la secuencia 
20:39:25.692987 ARP, reply 10,0,2,15 is -at 08:00:27:8a:35:d2, length 46 ….</t>
  </si>
  <si>
    <t>1.	En el Atacante, iniciar el servicio de spoofing DNS (sudo ettercap -G)</t>
  </si>
  <si>
    <t>2. una vez en la herramienta gráfica, es necesario habilitar el plugin para dns spoofing en el apartado de plugins</t>
  </si>
  <si>
    <t xml:space="preserve">3.se hace un escaneo de la red, con el botón hosts list y se selecciona el host al que se desea hacer el spoofing </t>
  </si>
  <si>
    <t>5. En la Víctima, intentar acceder vía navegador web a nokia.com.</t>
  </si>
  <si>
    <t>Instalación del componente</t>
  </si>
  <si>
    <t>Salida de los elementos de red definidos en el host</t>
  </si>
  <si>
    <t>El comando nslookup devuelve la IP del Atacante para el dominio consultado.</t>
  </si>
  <si>
    <t>Selección de la opción mitm</t>
  </si>
  <si>
    <t>Activación del servicio</t>
  </si>
  <si>
    <t>Visualización en el navegador de la página intervenida</t>
  </si>
  <si>
    <t>[ip atacante] 22 (ssh) open</t>
  </si>
  <si>
    <t>whoami debe devolver WIN1 y la dirección ip del atacante</t>
  </si>
  <si>
    <t>En el atacante se ejecuta: ssh win1@10.0.2.15 "whoami &amp;&amp; hostname &amp;&amp; ipconfig"</t>
  </si>
  <si>
    <t>Se deben ver los eventos en el dashboard de wazuh</t>
  </si>
  <si>
    <t>2, En el atacante ejecutar sudo nmap -sS -p 1-1000 -T5 10.0.2.15</t>
  </si>
  <si>
    <t>1. En el atacante se verifica que el servidor ssh en la victima esté abierto con el comando: nc -zv [IP víctima] 22</t>
  </si>
  <si>
    <t>3. En el atacante, se ejecuta el comando: hydra -l win1 -P /usr/share/wordlists/fasttrack.txt ssh://10.0.2.15 -t 4 -V</t>
  </si>
  <si>
    <t>En el atacante, en una sesión de ssh dentro de la victima se ejecutan: whoami /priv, net localgroup Administradores victima /add, reg add "HKLM\SOFTWARE\Microsoft\Windows\CurrentVersion\Run" /v TestTesis /t REG_SZ /d "C:\Users\Public\malware.exe" /f, sc create ServicioTesis binPath= "C:\Users\Public\malware.exe" start= auto</t>
  </si>
  <si>
    <t>Se deb ver la actividad sospechosa en el tablero de wazuh</t>
  </si>
  <si>
    <t>Salidas Obtenidas</t>
  </si>
  <si>
    <t>Salidas Esperadas</t>
  </si>
  <si>
    <t>Secuencia de Entradas</t>
  </si>
  <si>
    <t>Camino Activado</t>
  </si>
  <si>
    <t>Condiciones de la Prueba</t>
  </si>
  <si>
    <t xml:space="preserve">En el dashboard de wazuh se deberían ver los intentos </t>
  </si>
  <si>
    <t>En la VM llamada después ejecutar el comando dps para ver los contenedores activos</t>
  </si>
  <si>
    <t>En la pagina se vean los 4 servicios con 1/1 UP y state UP</t>
  </si>
  <si>
    <t>Se presenta la misma Mac registradas en el ataque.</t>
  </si>
  <si>
    <t>Verificar detección de DNS spoofing	Víctima -&gt; Atacante (Intercepción DNS) -&gt; IP Atacante (Sitio Falso)</t>
  </si>
  <si>
    <t>4. dentro del menú de mitm, hay que activar la opción de arp spoofing para poner en marcha el ataque</t>
  </si>
  <si>
    <t>Verificación de detección de mapeo de red</t>
  </si>
  <si>
    <t xml:space="preserve">1. En la víctima, verificar la instalación de sysmon ejecutando en una terminal de powershell como administrador: Get-Service Sysmon     </t>
  </si>
  <si>
    <t>Verificación de intentos de fuerza bruta de credenciales</t>
  </si>
  <si>
    <t>2. En el atacante se ingresa por ssh a la victima con el comando ssh WIN1@[ipvictima]   y la contraseña Windows, se usan los comandos whoami e ipconfig</t>
  </si>
  <si>
    <t>Verificación de detección de movimiento lateral/ejecución remota</t>
  </si>
  <si>
    <t>Se espera que se muestre el nombre de usuario, en nombre del computador y la dirección ip de la victima</t>
  </si>
  <si>
    <t>Verificación de escalación de privilegios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</si>
</sst>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1" applyBorder="1" applyAlignment="1">
      <alignment horizontal="left" vertical="center"/>
    </xf>
    <xf numFmtId="0" fontId="3" fillId="0" borderId="4" xfId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/>
    </xf>
    <xf numFmtId="0" fontId="3" fillId="3" borderId="4" xfId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3" fillId="0" borderId="8" xfId="1" applyBorder="1" applyAlignment="1">
      <alignment horizontal="left" vertical="center" wrapText="1"/>
    </xf>
    <xf numFmtId="0" fontId="3" fillId="0" borderId="4" xfId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82550</xdr:rowOff>
    </xdr:from>
    <xdr:to>
      <xdr:col>2</xdr:col>
      <xdr:colOff>3473</xdr:colOff>
      <xdr:row>4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BE113-21A6-3733-57F5-360DF1C0E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1" y="82550"/>
          <a:ext cx="1100380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jclavijomartinez/tesis/blob/main/imagenes/T1-1_W2_ping_gateway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D26C-F01D-4F0D-9B0D-9A3523484190}">
  <dimension ref="B1:I44"/>
  <sheetViews>
    <sheetView tabSelected="1" topLeftCell="B2" zoomScale="145" zoomScaleNormal="145" workbookViewId="0">
      <pane ySplit="5" topLeftCell="A7" activePane="bottomLeft" state="frozen"/>
      <selection activeCell="A2" sqref="A2"/>
      <selection pane="bottomLeft" activeCell="H42" sqref="H42"/>
    </sheetView>
  </sheetViews>
  <sheetFormatPr baseColWidth="10" defaultRowHeight="15" x14ac:dyDescent="0.25"/>
  <cols>
    <col min="1" max="1" width="4.5703125" customWidth="1"/>
    <col min="2" max="2" width="12.140625" customWidth="1"/>
    <col min="3" max="3" width="33.7109375" customWidth="1"/>
    <col min="4" max="4" width="33.28515625" customWidth="1"/>
    <col min="5" max="5" width="38.28515625" customWidth="1"/>
    <col min="6" max="6" width="48.5703125" customWidth="1"/>
    <col min="7" max="7" width="36.5703125" customWidth="1"/>
    <col min="8" max="8" width="28.5703125" customWidth="1"/>
  </cols>
  <sheetData>
    <row r="1" spans="2:8" ht="23.1" customHeight="1" x14ac:dyDescent="0.25">
      <c r="C1" s="8" t="s">
        <v>58</v>
      </c>
      <c r="D1" s="8"/>
      <c r="E1" s="8"/>
      <c r="F1" s="8"/>
      <c r="G1" s="8"/>
    </row>
    <row r="2" spans="2:8" ht="38.450000000000003" customHeight="1" x14ac:dyDescent="0.25">
      <c r="C2" s="7" t="s">
        <v>57</v>
      </c>
      <c r="D2" s="7"/>
      <c r="E2" s="7"/>
      <c r="F2" s="7"/>
      <c r="G2" s="7"/>
    </row>
    <row r="3" spans="2:8" ht="19.5" customHeight="1" x14ac:dyDescent="0.3">
      <c r="C3" s="9" t="s">
        <v>59</v>
      </c>
      <c r="D3" s="9"/>
      <c r="E3" s="9"/>
      <c r="F3" s="9"/>
      <c r="G3" s="9"/>
    </row>
    <row r="4" spans="2:8" ht="19.5" customHeight="1" x14ac:dyDescent="0.25">
      <c r="C4" t="s">
        <v>60</v>
      </c>
    </row>
    <row r="5" spans="2:8" ht="19.5" customHeight="1" thickBot="1" x14ac:dyDescent="0.3">
      <c r="C5" t="s">
        <v>61</v>
      </c>
    </row>
    <row r="6" spans="2:8" ht="30" x14ac:dyDescent="0.25">
      <c r="B6" s="17" t="s">
        <v>0</v>
      </c>
      <c r="C6" s="10" t="s">
        <v>93</v>
      </c>
      <c r="D6" s="10" t="s">
        <v>92</v>
      </c>
      <c r="E6" s="10" t="s">
        <v>91</v>
      </c>
      <c r="F6" s="10" t="s">
        <v>90</v>
      </c>
      <c r="G6" s="11" t="s">
        <v>89</v>
      </c>
      <c r="H6" s="1"/>
    </row>
    <row r="7" spans="2:8" x14ac:dyDescent="0.25">
      <c r="B7" s="19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25"/>
    </row>
    <row r="8" spans="2:8" x14ac:dyDescent="0.25">
      <c r="B8" s="18" t="s">
        <v>6</v>
      </c>
      <c r="C8" s="5" t="s">
        <v>7</v>
      </c>
      <c r="D8" s="5" t="s">
        <v>8</v>
      </c>
      <c r="E8" s="5" t="s">
        <v>44</v>
      </c>
      <c r="F8" s="4" t="s">
        <v>45</v>
      </c>
      <c r="G8" s="12" t="str">
        <f>HYPERLINK("https://github.com/jclavijomartinez/tesis/blob/main/imagenes/T1-1_W2_ping_gateway.png", "Ver Evidencia PCWin11-1")</f>
        <v>Ver Evidencia PCWin11-1</v>
      </c>
    </row>
    <row r="9" spans="2:8" x14ac:dyDescent="0.25">
      <c r="B9" s="18"/>
      <c r="C9" s="5"/>
      <c r="D9" s="5"/>
      <c r="E9" s="5"/>
      <c r="F9" s="4" t="s">
        <v>46</v>
      </c>
      <c r="G9" s="12" t="str">
        <f>HYPERLINK("https://github.com/jclavijomartinez/tesis/blob/main/imagenes/T1-1_W2_ping_gateway.png", "Ver Evidencia PCWin11-2")</f>
        <v>Ver Evidencia PCWin11-2</v>
      </c>
    </row>
    <row r="10" spans="2:8" x14ac:dyDescent="0.25">
      <c r="B10" s="18"/>
      <c r="C10" s="5"/>
      <c r="D10" s="5"/>
      <c r="E10" s="5"/>
      <c r="F10" s="4" t="s">
        <v>47</v>
      </c>
      <c r="G10" s="12" t="str">
        <f>HYPERLINK("https://github.com/jclavijomartinez/tesis/blob/main/imagenes/T1-1_W3_ping_gateway.png", "Ver Evidencia PCWin11-3")</f>
        <v>Ver Evidencia PCWin11-3</v>
      </c>
    </row>
    <row r="11" spans="2:8" ht="16.5" customHeight="1" x14ac:dyDescent="0.25">
      <c r="B11" s="18" t="s">
        <v>9</v>
      </c>
      <c r="C11" s="5" t="s">
        <v>10</v>
      </c>
      <c r="D11" s="6" t="s">
        <v>11</v>
      </c>
      <c r="E11" s="5" t="s">
        <v>54</v>
      </c>
      <c r="F11" s="4" t="s">
        <v>48</v>
      </c>
      <c r="G11" s="12" t="str">
        <f>HYPERLINK("https://github.com/jclavijomartinez/tesis/blob/main/imagenes/T1-2_W1_ping_northbound.png", "Ver Evidencia PCWin11-1")</f>
        <v>Ver Evidencia PCWin11-1</v>
      </c>
    </row>
    <row r="12" spans="2:8" x14ac:dyDescent="0.25">
      <c r="B12" s="18"/>
      <c r="C12" s="5"/>
      <c r="D12" s="6"/>
      <c r="E12" s="5"/>
      <c r="F12" s="4" t="s">
        <v>49</v>
      </c>
      <c r="G12" s="12" t="str">
        <f>HYPERLINK("https://github.com/jclavijomartinez/tesis/blob/main/imagenes/T1-2_W2_ping_northbound.png", "Ver Evidencia PCWin11-2")</f>
        <v>Ver Evidencia PCWin11-2</v>
      </c>
    </row>
    <row r="13" spans="2:8" x14ac:dyDescent="0.25">
      <c r="B13" s="18"/>
      <c r="C13" s="5"/>
      <c r="D13" s="6"/>
      <c r="E13" s="5"/>
      <c r="F13" s="4" t="s">
        <v>50</v>
      </c>
      <c r="G13" s="12" t="str">
        <f>HYPERLINK("https://github.com/jclavijomartinez/tesis/blob/main/imagenes/T1-2_W3_ping_northbound.png", "Ver Evidencia PCWin11-3")</f>
        <v>Ver Evidencia PCWin11-3</v>
      </c>
    </row>
    <row r="14" spans="2:8" ht="12.6" customHeight="1" x14ac:dyDescent="0.25">
      <c r="B14" s="18" t="s">
        <v>12</v>
      </c>
      <c r="C14" s="5" t="s">
        <v>13</v>
      </c>
      <c r="D14" s="5" t="s">
        <v>14</v>
      </c>
      <c r="E14" s="5" t="s">
        <v>55</v>
      </c>
      <c r="F14" s="4" t="s">
        <v>51</v>
      </c>
      <c r="G14" s="12" t="str">
        <f>HYPERLINK("https://github.com/jclavijomartinez/tesis/blob/main/imagenes/T1-3_W1_ping_nokia.png", "Ver Evidencia PCWin11-1")</f>
        <v>Ver Evidencia PCWin11-1</v>
      </c>
    </row>
    <row r="15" spans="2:8" x14ac:dyDescent="0.25">
      <c r="B15" s="18"/>
      <c r="C15" s="5"/>
      <c r="D15" s="5"/>
      <c r="E15" s="5"/>
      <c r="F15" s="4" t="s">
        <v>52</v>
      </c>
      <c r="G15" s="12" t="str">
        <f>HYPERLINK("https://github.com/jclavijomartinez/tesis/blob/main/imagenes/T1-3_W2_ping_nokia.png", "Ver Evidencia PCWin11-2")</f>
        <v>Ver Evidencia PCWin11-2</v>
      </c>
    </row>
    <row r="16" spans="2:8" x14ac:dyDescent="0.25">
      <c r="B16" s="18"/>
      <c r="C16" s="5"/>
      <c r="D16" s="5"/>
      <c r="E16" s="5"/>
      <c r="F16" s="4" t="s">
        <v>53</v>
      </c>
      <c r="G16" s="12" t="str">
        <f>HYPERLINK("https://github.com/jclavijomartinez/tesis/blob/main/imagenes/T1-3_W3_ping_nokia.png", "Ver Evidencia PCWin11-3")</f>
        <v>Ver Evidencia PCWin11-3</v>
      </c>
    </row>
    <row r="17" spans="2:9" ht="75" x14ac:dyDescent="0.25">
      <c r="B17" s="19" t="s">
        <v>15</v>
      </c>
      <c r="C17" s="3" t="s">
        <v>16</v>
      </c>
      <c r="D17" s="3" t="s">
        <v>17</v>
      </c>
      <c r="E17" s="3" t="s">
        <v>95</v>
      </c>
      <c r="F17" s="3" t="s">
        <v>18</v>
      </c>
      <c r="G17" s="12" t="str">
        <f>HYPERLINK("https://github.com/jclavijomartinez/tesis/blob/main/imagenes/T2_docker_ps_galp.png", "Ver Evidencia Stack GLAP")</f>
        <v>Ver Evidencia Stack GLAP</v>
      </c>
    </row>
    <row r="18" spans="2:9" ht="30" x14ac:dyDescent="0.25">
      <c r="B18" s="20" t="s">
        <v>19</v>
      </c>
      <c r="C18" s="3" t="s">
        <v>20</v>
      </c>
      <c r="D18" s="3" t="s">
        <v>21</v>
      </c>
      <c r="E18" s="3" t="s">
        <v>22</v>
      </c>
      <c r="F18" s="3" t="s">
        <v>96</v>
      </c>
      <c r="G18" s="13" t="str">
        <f>HYPERLINK("https://github.com/jclavijomartinez/tesis/blob/main/imagenes/T2-1_galp_targets_up.png", "Ver Evidencia Verificacion de servicios del stack")</f>
        <v>Ver Evidencia Verificacion de servicios del stack</v>
      </c>
    </row>
    <row r="19" spans="2:9" ht="30" x14ac:dyDescent="0.25">
      <c r="B19" s="20" t="s">
        <v>23</v>
      </c>
      <c r="C19" s="3" t="s">
        <v>24</v>
      </c>
      <c r="D19" s="3" t="s">
        <v>25</v>
      </c>
      <c r="E19" s="3" t="s">
        <v>26</v>
      </c>
      <c r="F19" s="3" t="s">
        <v>27</v>
      </c>
      <c r="G19" s="13" t="str">
        <f>HYPERLINK("https://github.com/jclavijomartinez/tesis/blob/main/imagenes/T3_suricata_zeek_docker_ps.png", "Ver Evidencia de activación de Zuticata y Zeek")</f>
        <v>Ver Evidencia de activación de Zuticata y Zeek</v>
      </c>
    </row>
    <row r="20" spans="2:9" ht="45" x14ac:dyDescent="0.25">
      <c r="B20" s="20" t="s">
        <v>28</v>
      </c>
      <c r="C20" s="3" t="s">
        <v>30</v>
      </c>
      <c r="D20" s="3" t="s">
        <v>31</v>
      </c>
      <c r="E20" s="3" t="s">
        <v>32</v>
      </c>
      <c r="F20" s="3" t="s">
        <v>29</v>
      </c>
      <c r="G20" s="13" t="str">
        <f>HYPERLINK("https://github.com/jclavijomartinez/tesis/blob/main/imagenes/T3-2_wazuh_docker_ps.png", "Ver Evidencia de activación servicios Wazuh")</f>
        <v>Ver Evidencia de activación servicios Wazuh</v>
      </c>
    </row>
    <row r="21" spans="2:9" ht="30" x14ac:dyDescent="0.25">
      <c r="B21" s="14" t="s">
        <v>33</v>
      </c>
      <c r="C21" s="5" t="s">
        <v>34</v>
      </c>
      <c r="D21" s="5" t="s">
        <v>35</v>
      </c>
      <c r="E21" s="3" t="s">
        <v>62</v>
      </c>
      <c r="F21" s="3" t="s">
        <v>63</v>
      </c>
      <c r="G21" s="15" t="str">
        <f>HYPERLINK("https://github.com/jclavijomartinez/tesis/blob/main/imagenes/T4_N1_ip_forward.png", "Ver Evidencia habilitacion del forwarding")</f>
        <v>Ver Evidencia habilitacion del forwarding</v>
      </c>
    </row>
    <row r="22" spans="2:9" ht="35.450000000000003" customHeight="1" x14ac:dyDescent="0.25">
      <c r="B22" s="14"/>
      <c r="C22" s="5"/>
      <c r="D22" s="5"/>
      <c r="E22" s="3" t="s">
        <v>64</v>
      </c>
      <c r="F22" s="3" t="s">
        <v>56</v>
      </c>
      <c r="G22" s="16" t="str">
        <f>HYPERLINK("https://github.com/jclavijomartinez/tesis/blob/main/imagenes/T4_arp_initial.png", "Ver Evidencia MAC legitima del Gateway")</f>
        <v>Ver Evidencia MAC legitima del Gateway</v>
      </c>
    </row>
    <row r="23" spans="2:9" ht="45.95" customHeight="1" x14ac:dyDescent="0.25">
      <c r="B23" s="14"/>
      <c r="C23" s="5"/>
      <c r="D23" s="5"/>
      <c r="E23" s="3" t="s">
        <v>65</v>
      </c>
      <c r="F23" s="3" t="s">
        <v>66</v>
      </c>
      <c r="G23" s="16" t="str">
        <f>HYPERLINK("https://github.com/jclavijomartinez/tesis/blob/main/imagenes/T4_N2_Envenenamiento.png", "Ver Evidencia envenenamiento (Arpsoof)")</f>
        <v>Ver Evidencia envenenamiento (Arpsoof)</v>
      </c>
      <c r="I23" s="2"/>
    </row>
    <row r="24" spans="2:9" ht="18.95" customHeight="1" x14ac:dyDescent="0.25">
      <c r="B24" s="14"/>
      <c r="C24" s="5"/>
      <c r="D24" s="5"/>
      <c r="E24" s="3" t="s">
        <v>67</v>
      </c>
      <c r="F24" s="3" t="s">
        <v>97</v>
      </c>
      <c r="G24" s="16" t="str">
        <f>HYPERLINK("https://github.com/jclavijomartinez/tesis/blob/main/imagenes/T4_arp_after_attack.png", "Ver Evidencia ARP después del ataque")</f>
        <v>Ver Evidencia ARP después del ataque</v>
      </c>
    </row>
    <row r="25" spans="2:9" ht="47.1" customHeight="1" x14ac:dyDescent="0.25">
      <c r="B25" s="14"/>
      <c r="C25" s="5"/>
      <c r="D25" s="5"/>
      <c r="E25" s="3" t="s">
        <v>68</v>
      </c>
      <c r="F25" s="3" t="s">
        <v>69</v>
      </c>
      <c r="G25" s="16" t="str">
        <f>HYPERLINK("https://github.com/jclavijomartinez/tesis/blob/main/imagenes/T4_N3_TCPDump.png", "Ver Evidencia aplicación del TCPDump")</f>
        <v>Ver Evidencia aplicación del TCPDump</v>
      </c>
    </row>
    <row r="26" spans="2:9" ht="41.45" customHeight="1" x14ac:dyDescent="0.25">
      <c r="B26" s="14" t="s">
        <v>36</v>
      </c>
      <c r="C26" s="5" t="s">
        <v>98</v>
      </c>
      <c r="D26" s="5" t="s">
        <v>37</v>
      </c>
      <c r="E26" s="3" t="s">
        <v>70</v>
      </c>
      <c r="F26" s="3" t="s">
        <v>76</v>
      </c>
      <c r="G26" s="13" t="str">
        <f>HYPERLINK("https://github.com/jclavijomartinez/tesis/blob/main/imagenes/T5_ettercap_start.png", "Ver Evidencia iniciación del servicio spoofing")</f>
        <v>Ver Evidencia iniciación del servicio spoofing</v>
      </c>
    </row>
    <row r="27" spans="2:9" ht="45" x14ac:dyDescent="0.25">
      <c r="B27" s="14"/>
      <c r="C27" s="5"/>
      <c r="D27" s="5"/>
      <c r="E27" s="3" t="s">
        <v>71</v>
      </c>
      <c r="F27" s="3" t="s">
        <v>74</v>
      </c>
      <c r="G27" s="13" t="str">
        <f>HYPERLINK("https://github.com/jclavijomartinez/tesis/blob/main/imagenes/T5_ettercap_dns_plugin.png", "Ver Evidencia habilitación del plugin")</f>
        <v>Ver Evidencia habilitación del plugin</v>
      </c>
    </row>
    <row r="28" spans="2:9" ht="45" x14ac:dyDescent="0.25">
      <c r="B28" s="14"/>
      <c r="C28" s="5"/>
      <c r="D28" s="5"/>
      <c r="E28" s="3" t="s">
        <v>72</v>
      </c>
      <c r="F28" s="3" t="s">
        <v>75</v>
      </c>
      <c r="G28" s="13" t="str">
        <f>HYPERLINK("https://github.com/jclavijomartinez/tesis/blob/main/imagenes/T5_ettercap_hosts_scan.png", "Ver Evidencia selección del host")</f>
        <v>Ver Evidencia selección del host</v>
      </c>
    </row>
    <row r="29" spans="2:9" ht="32.450000000000003" customHeight="1" x14ac:dyDescent="0.25">
      <c r="B29" s="14"/>
      <c r="C29" s="5"/>
      <c r="D29" s="5"/>
      <c r="E29" s="5" t="s">
        <v>99</v>
      </c>
      <c r="F29" s="3" t="s">
        <v>77</v>
      </c>
      <c r="G29" s="13" t="str">
        <f>HYPERLINK("https://github.com/jclavijomartinez/tesis/blob/main/imagenes/T5_ettercap_arp_spoofing.png", "Ver Evidencia activación ARP Spoofing")</f>
        <v>Ver Evidencia activación ARP Spoofing</v>
      </c>
    </row>
    <row r="30" spans="2:9" x14ac:dyDescent="0.25">
      <c r="B30" s="14"/>
      <c r="C30" s="5"/>
      <c r="D30" s="5"/>
      <c r="E30" s="5"/>
      <c r="F30" s="3" t="s">
        <v>78</v>
      </c>
      <c r="G30" s="13" t="str">
        <f>HYPERLINK("https://github.com/jclavijomartinez/tesis/blob/main/imagenes/T5_ettercap_attack_active.png", "Ver Evidencia del servicio activado")</f>
        <v>Ver Evidencia del servicio activado</v>
      </c>
    </row>
    <row r="31" spans="2:9" ht="30" x14ac:dyDescent="0.25">
      <c r="B31" s="14"/>
      <c r="C31" s="5"/>
      <c r="D31" s="5"/>
      <c r="E31" s="3" t="s">
        <v>73</v>
      </c>
      <c r="F31" s="3" t="s">
        <v>79</v>
      </c>
      <c r="G31" s="13" t="str">
        <f>HYPERLINK("https://github.com/jclavijomartinez/tesis/blob/main/imagenes/T5_victim_fake_site.png", "Ver Evidencia del sitio falso")</f>
        <v>Ver Evidencia del sitio falso</v>
      </c>
    </row>
    <row r="32" spans="2:9" ht="66" customHeight="1" x14ac:dyDescent="0.25">
      <c r="B32" s="14" t="s">
        <v>38</v>
      </c>
      <c r="C32" s="5" t="s">
        <v>100</v>
      </c>
      <c r="D32" s="5" t="s">
        <v>39</v>
      </c>
      <c r="E32" s="3" t="s">
        <v>101</v>
      </c>
      <c r="F32" s="5" t="s">
        <v>80</v>
      </c>
      <c r="G32" s="13" t="str">
        <f>HYPERLINK("https://github.com/jclavijomartinez/tesis/blob/main/imagenes/T6_N1_GetService_Sysmon.png", "Ver Evidencia de GetService_Sysmon")</f>
        <v>Ver Evidencia de GetService_Sysmon</v>
      </c>
    </row>
    <row r="33" spans="2:7" ht="66" customHeight="1" x14ac:dyDescent="0.25">
      <c r="B33" s="14"/>
      <c r="C33" s="5"/>
      <c r="D33" s="5"/>
      <c r="E33" s="5" t="s">
        <v>84</v>
      </c>
      <c r="F33" s="5"/>
      <c r="G33" s="13" t="str">
        <f>HYPERLINK("https://github.com/jclavijomartinez/tesis/blob/main/imagenes/T6_N2_AtaqueEjecutado.png", "Ver Evidencia del Ataque Ejecutado")</f>
        <v>Ver Evidencia del Ataque Ejecutado</v>
      </c>
    </row>
    <row r="34" spans="2:7" ht="36.75" customHeight="1" x14ac:dyDescent="0.25">
      <c r="B34" s="14"/>
      <c r="C34" s="5"/>
      <c r="D34" s="5"/>
      <c r="E34" s="5"/>
      <c r="F34" s="5"/>
      <c r="G34" s="13" t="str">
        <f>HYPERLINK("https://github.com/jclavijomartinez/tesis/blob/main/imagenes/T6_N2_Hunting_Agente_Events.png", "Ver Evidencia del Hunting_Agente_Events.png")</f>
        <v>Ver Evidencia del Hunting_Agente_Events.png</v>
      </c>
    </row>
    <row r="35" spans="2:7" ht="51.75" customHeight="1" x14ac:dyDescent="0.25">
      <c r="B35" s="14" t="s">
        <v>40</v>
      </c>
      <c r="C35" s="5" t="s">
        <v>102</v>
      </c>
      <c r="D35" s="5" t="s">
        <v>41</v>
      </c>
      <c r="E35" s="3" t="s">
        <v>85</v>
      </c>
      <c r="F35" s="3" t="s">
        <v>80</v>
      </c>
      <c r="G35" s="22" t="str">
        <f>HYPERLINK("https://github.com/jclavijomartinez/tesis/blob/main/imagenes/T7_N1y2_AtacantayWhoami.png", "Ver Evidencia del Atacante y Whoami")</f>
        <v>Ver Evidencia del Atacante y Whoami</v>
      </c>
    </row>
    <row r="36" spans="2:7" ht="75" x14ac:dyDescent="0.25">
      <c r="B36" s="14"/>
      <c r="C36" s="5"/>
      <c r="D36" s="5"/>
      <c r="E36" s="3" t="s">
        <v>103</v>
      </c>
      <c r="F36" s="3" t="s">
        <v>81</v>
      </c>
      <c r="G36" s="22"/>
    </row>
    <row r="37" spans="2:7" ht="64.5" customHeight="1" x14ac:dyDescent="0.25">
      <c r="B37" s="14"/>
      <c r="C37" s="5"/>
      <c r="D37" s="5"/>
      <c r="E37" s="5" t="s">
        <v>86</v>
      </c>
      <c r="F37" s="5" t="s">
        <v>94</v>
      </c>
      <c r="G37" s="13" t="str">
        <f>HYPERLINK("https://github.com/jclavijomartinez/tesis/blob/main/imagenes/T7_N3_ComandoHydra.png", "Ver Evidencia del Comando Hydra")</f>
        <v>Ver Evidencia del Comando Hydra</v>
      </c>
    </row>
    <row r="38" spans="2:7" ht="64.5" customHeight="1" x14ac:dyDescent="0.25">
      <c r="B38" s="14"/>
      <c r="C38" s="5"/>
      <c r="D38" s="5"/>
      <c r="E38" s="5"/>
      <c r="F38" s="5"/>
      <c r="G38" s="13" t="str">
        <f>HYPERLINK("https://github.com/jclavijomartinez/tesis/blob/main/imagenes/T7_N3_DashboardWazuh.png", "Ver Evidencia del Dashboard Wazuh")</f>
        <v>Ver Evidencia del Dashboard Wazuh</v>
      </c>
    </row>
    <row r="39" spans="2:7" ht="31.5" customHeight="1" x14ac:dyDescent="0.25">
      <c r="B39" s="14" t="s">
        <v>42</v>
      </c>
      <c r="C39" s="5" t="s">
        <v>104</v>
      </c>
      <c r="D39" s="5" t="s">
        <v>41</v>
      </c>
      <c r="E39" s="5" t="s">
        <v>82</v>
      </c>
      <c r="F39" s="3" t="s">
        <v>105</v>
      </c>
      <c r="G39" s="13" t="str">
        <f>HYPERLINK("https://github.com/jclavijomartinez/tesis/blob/main/imagenes/T8_N1_Whoami_Hostname_Ipconfig.png", "Ver Evidencia del Whoami Hostname Ipconfig")</f>
        <v>Ver Evidencia del Whoami Hostname Ipconfig</v>
      </c>
    </row>
    <row r="40" spans="2:7" ht="31.5" customHeight="1" x14ac:dyDescent="0.25">
      <c r="B40" s="14"/>
      <c r="C40" s="5"/>
      <c r="D40" s="5"/>
      <c r="E40" s="5"/>
      <c r="F40" s="5" t="s">
        <v>83</v>
      </c>
      <c r="G40" s="13" t="str">
        <f>HYPERLINK("https://github.com/jclavijomartinez/tesis/blob/main/imagenes/T8_N1_Detector_Eventos_Wazuh.png", "Ver Evidencia del Detector de Eventos de Wazuh")</f>
        <v>Ver Evidencia del Detector de Eventos de Wazuh</v>
      </c>
    </row>
    <row r="41" spans="2:7" ht="36.75" customHeight="1" x14ac:dyDescent="0.25">
      <c r="B41" s="14"/>
      <c r="C41" s="5"/>
      <c r="D41" s="5"/>
      <c r="E41" s="5"/>
      <c r="F41" s="5"/>
      <c r="G41" s="13" t="str">
        <f>HYPERLINK("https://github.com/jclavijomartinez/tesis/blob/main/imagenes/T8_N1_Detector_Eventos_Wazuh_2.png", "Ver Evidencia del Detector de Eventos de Wazuh 2")</f>
        <v>Ver Evidencia del Detector de Eventos de Wazuh 2</v>
      </c>
    </row>
    <row r="42" spans="2:7" ht="50.25" customHeight="1" x14ac:dyDescent="0.25">
      <c r="B42" s="14" t="s">
        <v>43</v>
      </c>
      <c r="C42" s="5" t="s">
        <v>106</v>
      </c>
      <c r="D42" s="5" t="s">
        <v>41</v>
      </c>
      <c r="E42" s="5" t="s">
        <v>87</v>
      </c>
      <c r="F42" s="5" t="s">
        <v>88</v>
      </c>
      <c r="G42" s="13" t="str">
        <f>HYPERLINK("https://github.com/jclavijomartinez/tesis/blob/main/imagenes/T9_N1_Atacante.png", "Ver Evidencia del Atacante")</f>
        <v>Ver Evidencia del Atacante</v>
      </c>
    </row>
    <row r="43" spans="2:7" ht="50.25" customHeight="1" x14ac:dyDescent="0.25">
      <c r="B43" s="14"/>
      <c r="C43" s="5"/>
      <c r="D43" s="5"/>
      <c r="E43" s="5"/>
      <c r="F43" s="5"/>
      <c r="G43" s="13" t="str">
        <f>HYPERLINK("https://github.com/jclavijomartinez/tesis/blob/main/imagenes/T9_N1_TableroWazuh_1.png", "Ver Evidencia del Tablero Wazuh 1")</f>
        <v>Ver Evidencia del Tablero Wazuh 1</v>
      </c>
    </row>
    <row r="44" spans="2:7" ht="50.25" customHeight="1" thickBot="1" x14ac:dyDescent="0.3">
      <c r="B44" s="23"/>
      <c r="C44" s="24"/>
      <c r="D44" s="24"/>
      <c r="E44" s="24"/>
      <c r="F44" s="24"/>
      <c r="G44" s="21" t="str">
        <f>HYPERLINK("https://github.com/jclavijomartinez/tesis/blob/main/imagenes/T9_N1_TableroWazuh_2.png", "Ver Evidencia del Tablero Wazuh 2")</f>
        <v>Ver Evidencia del Tablero Wazuh 2</v>
      </c>
    </row>
  </sheetData>
  <mergeCells count="43">
    <mergeCell ref="F40:F41"/>
    <mergeCell ref="B42:B44"/>
    <mergeCell ref="C42:C44"/>
    <mergeCell ref="D42:D44"/>
    <mergeCell ref="E42:E44"/>
    <mergeCell ref="F42:F44"/>
    <mergeCell ref="G35:G36"/>
    <mergeCell ref="B35:B38"/>
    <mergeCell ref="C35:C38"/>
    <mergeCell ref="D35:D38"/>
    <mergeCell ref="E37:E38"/>
    <mergeCell ref="F37:F38"/>
    <mergeCell ref="B39:B41"/>
    <mergeCell ref="C39:C41"/>
    <mergeCell ref="D39:D41"/>
    <mergeCell ref="E39:E41"/>
    <mergeCell ref="E33:E34"/>
    <mergeCell ref="B32:B34"/>
    <mergeCell ref="C32:C34"/>
    <mergeCell ref="D32:D34"/>
    <mergeCell ref="F32:F34"/>
    <mergeCell ref="B21:B25"/>
    <mergeCell ref="E29:E30"/>
    <mergeCell ref="B26:B31"/>
    <mergeCell ref="C26:C31"/>
    <mergeCell ref="D26:D31"/>
    <mergeCell ref="C2:G2"/>
    <mergeCell ref="C1:G1"/>
    <mergeCell ref="C3:G3"/>
    <mergeCell ref="C21:C25"/>
    <mergeCell ref="D21:D25"/>
    <mergeCell ref="C14:C16"/>
    <mergeCell ref="D14:D16"/>
    <mergeCell ref="E14:E16"/>
    <mergeCell ref="B14:B16"/>
    <mergeCell ref="E11:E13"/>
    <mergeCell ref="C11:C13"/>
    <mergeCell ref="D11:D13"/>
    <mergeCell ref="B8:B10"/>
    <mergeCell ref="C8:C10"/>
    <mergeCell ref="D8:D10"/>
    <mergeCell ref="E8:E10"/>
    <mergeCell ref="B11:B13"/>
  </mergeCells>
  <phoneticPr fontId="2" type="noConversion"/>
  <hyperlinks>
    <hyperlink ref="G9" r:id="rId1" display="https://github.com/jclavijomartinez/tesis/blob/main/imagenes/T1-1_W2_ping_gateway.png" xr:uid="{27E954EB-EFD6-4E1E-B4F8-32FBE5783E55}"/>
  </hyperlinks>
  <pageMargins left="0.7" right="0.7" top="0.75" bottom="0.75" header="0.3" footer="0.3"/>
  <ignoredErrors>
    <ignoredError sqref="G1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Simulacion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Clavijo Cuineme</dc:creator>
  <cp:lastModifiedBy>Luis Alberto Clavijo Cuineme</cp:lastModifiedBy>
  <dcterms:created xsi:type="dcterms:W3CDTF">2026-04-22T15:24:20Z</dcterms:created>
  <dcterms:modified xsi:type="dcterms:W3CDTF">2026-06-09T20:03:41Z</dcterms:modified>
</cp:coreProperties>
</file>